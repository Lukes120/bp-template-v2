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bp-template-v2\"/>
    </mc:Choice>
  </mc:AlternateContent>
  <xr:revisionPtr revIDLastSave="0" documentId="8_{4D6CD9C2-CF6B-472E-971F-45F4B54FB624}" xr6:coauthVersionLast="47" xr6:coauthVersionMax="47" xr10:uidLastSave="{00000000-0000-0000-0000-000000000000}"/>
  <bookViews>
    <workbookView xWindow="-120" yWindow="-120" windowWidth="29040" windowHeight="15525" xr2:uid="{00000000-000D-0000-FFFF-FFFF00000000}"/>
  </bookViews>
  <sheets>
    <sheet name="Valutazione Commess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" l="1"/>
  <c r="K33" i="1" s="1"/>
  <c r="L33" i="1" s="1"/>
  <c r="I32" i="1"/>
  <c r="I34" i="1" s="1"/>
  <c r="I42" i="1" s="1"/>
  <c r="D28" i="1"/>
  <c r="I41" i="1" s="1"/>
  <c r="F27" i="1"/>
  <c r="F28" i="1" s="1"/>
  <c r="D27" i="1"/>
  <c r="D22" i="1"/>
  <c r="D23" i="1" s="1"/>
  <c r="I40" i="1" s="1"/>
  <c r="D18" i="1"/>
  <c r="I39" i="1" s="1"/>
  <c r="F17" i="1"/>
  <c r="F18" i="1" s="1"/>
  <c r="D17" i="1"/>
  <c r="D12" i="1"/>
  <c r="F12" i="1" s="1"/>
  <c r="G12" i="1" s="1"/>
  <c r="D11" i="1"/>
  <c r="F11" i="1" s="1"/>
  <c r="G11" i="1" s="1"/>
  <c r="F10" i="1"/>
  <c r="G10" i="1" s="1"/>
  <c r="D10" i="1"/>
  <c r="D9" i="1"/>
  <c r="F9" i="1" s="1"/>
  <c r="G9" i="1" l="1"/>
  <c r="G13" i="1" s="1"/>
  <c r="F13" i="1"/>
  <c r="K38" i="1" s="1"/>
  <c r="K39" i="1"/>
  <c r="L39" i="1" s="1"/>
  <c r="G18" i="1"/>
  <c r="G28" i="1"/>
  <c r="K41" i="1"/>
  <c r="L41" i="1" s="1"/>
  <c r="G17" i="1"/>
  <c r="G27" i="1"/>
  <c r="F22" i="1"/>
  <c r="K32" i="1"/>
  <c r="D13" i="1"/>
  <c r="I38" i="1" s="1"/>
  <c r="I43" i="1" s="1"/>
  <c r="F23" i="1" l="1"/>
  <c r="G22" i="1"/>
  <c r="L38" i="1"/>
  <c r="L32" i="1"/>
  <c r="K34" i="1"/>
  <c r="K42" i="1" l="1"/>
  <c r="L42" i="1" s="1"/>
  <c r="L34" i="1"/>
  <c r="G23" i="1"/>
  <c r="K40" i="1"/>
  <c r="L40" i="1" l="1"/>
  <c r="K43" i="1"/>
  <c r="K44" i="1" l="1"/>
  <c r="K46" i="1" s="1"/>
  <c r="L43" i="1"/>
  <c r="L47" i="1" l="1"/>
  <c r="L46" i="1"/>
</calcChain>
</file>

<file path=xl/sharedStrings.xml><?xml version="1.0" encoding="utf-8"?>
<sst xmlns="http://schemas.openxmlformats.org/spreadsheetml/2006/main" count="86" uniqueCount="61">
  <si>
    <t>VALUTAZIONE COMMESSA - DISMANTLING/REINSTALL UTA UPIM VIGNA CLARA</t>
  </si>
  <si>
    <t>Commessa:</t>
  </si>
  <si>
    <t>Dismantling/Reinstall UTA UPIM Vigna Clara</t>
  </si>
  <si>
    <t>Cliente:</t>
  </si>
  <si>
    <t>ELETECNO-ST S.p.A.</t>
  </si>
  <si>
    <t>Tipo:</t>
  </si>
  <si>
    <t>servizi</t>
  </si>
  <si>
    <t>Data:</t>
  </si>
  <si>
    <t>2026-04-29</t>
  </si>
  <si>
    <t>N. Odoo:</t>
  </si>
  <si>
    <t>S04134</t>
  </si>
  <si>
    <t>Note:</t>
  </si>
  <si>
    <t>MANODOPERA</t>
  </si>
  <si>
    <t>Categoria</t>
  </si>
  <si>
    <t>h/uomo</t>
  </si>
  <si>
    <t>Costo/h</t>
  </si>
  <si>
    <t>Costo Tot.</t>
  </si>
  <si>
    <t>Markup %</t>
  </si>
  <si>
    <t>Prezzo Vendita</t>
  </si>
  <si>
    <t>Margine</t>
  </si>
  <si>
    <t>B1 - Caposquadra</t>
  </si>
  <si>
    <t>C3 - Operaio tecnico</t>
  </si>
  <si>
    <t>D2 - Operaio qualificato</t>
  </si>
  <si>
    <t>TOTALE MANODOPERA</t>
  </si>
  <si>
    <t>MATERIALI</t>
  </si>
  <si>
    <t>Descrizione</t>
  </si>
  <si>
    <t>Qta</t>
  </si>
  <si>
    <t>Costo Unit.</t>
  </si>
  <si>
    <t>Varie per attrezzature</t>
  </si>
  <si>
    <t>TOTALE MATERIALI</t>
  </si>
  <si>
    <t>SERVIZI E SUBAPPALTI</t>
  </si>
  <si>
    <t>assistenza per configurazione</t>
  </si>
  <si>
    <t>TOTALE SERVIZI E SUBAPPALTI</t>
  </si>
  <si>
    <t>MANUTENZIONE</t>
  </si>
  <si>
    <t>TOTALE MANUTENZIONE</t>
  </si>
  <si>
    <t>TRASFERTE</t>
  </si>
  <si>
    <t>Persone</t>
  </si>
  <si>
    <t>Giorni</t>
  </si>
  <si>
    <t>Costo/g</t>
  </si>
  <si>
    <t>Vitto</t>
  </si>
  <si>
    <t>Alloggio</t>
  </si>
  <si>
    <t>Km</t>
  </si>
  <si>
    <t>EUR/km</t>
  </si>
  <si>
    <t>giornaliere</t>
  </si>
  <si>
    <t>maggiorazione notturno</t>
  </si>
  <si>
    <t>TOTALE TRASFERTE</t>
  </si>
  <si>
    <t>RIEPILOGO FINALE</t>
  </si>
  <si>
    <t>Voce</t>
  </si>
  <si>
    <t>Costo</t>
  </si>
  <si>
    <t>%</t>
  </si>
  <si>
    <t>Vendita</t>
  </si>
  <si>
    <t>Manodopera</t>
  </si>
  <si>
    <t>Materiali</t>
  </si>
  <si>
    <t>Servizi e Subappalti</t>
  </si>
  <si>
    <t>Manutenzione</t>
  </si>
  <si>
    <t>Trasferte</t>
  </si>
  <si>
    <t>TOTALE COSTI DIRETTI</t>
  </si>
  <si>
    <t>Spese Generali (5%)</t>
  </si>
  <si>
    <t>Sconto Direzione</t>
  </si>
  <si>
    <t>TOTALE FINALE (IVA ESCLUSA)</t>
  </si>
  <si>
    <t>Margine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</si>
</sst>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0.0&quot;%&quot;"/>
  </numFmts>
  <fonts count="13" x14ac:knownFonts="1">
    <font>
      <sz val="11"/>
      <color rgb="FF000000"/>
      <name val="Calibri"/>
    </font>
    <font>
      <b/>
      <sz val="14"/>
      <color rgb="FFFFFFFF"/>
      <name val="Calibri"/>
    </font>
    <font>
      <b/>
      <sz val="10"/>
      <color rgb="FF1A3E5C"/>
      <name val="Calibri"/>
    </font>
    <font>
      <sz val="10"/>
      <color rgb="FF000000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0"/>
      <color rgb="FFDC2626"/>
      <name val="Calibri"/>
    </font>
    <font>
      <b/>
      <sz val="13"/>
      <color rgb="FFFFFFFF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3E5C"/>
        <bgColor rgb="FF000000"/>
      </patternFill>
    </fill>
    <fill>
      <patternFill patternType="solid">
        <fgColor rgb="FF2E6DA4"/>
        <bgColor rgb="FF000000"/>
      </patternFill>
    </fill>
    <fill>
      <patternFill patternType="solid">
        <fgColor rgb="FFF0F4F9"/>
        <bgColor rgb="FF00000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E6DA4"/>
      </left>
      <right style="thin">
        <color rgb="FF2E6DA4"/>
      </right>
      <top style="thin">
        <color rgb="FF2E6DA4"/>
      </top>
      <bottom style="thin">
        <color rgb="FF2E6DA4"/>
      </bottom>
      <diagonal/>
    </border>
    <border>
      <left style="medium">
        <color rgb="FF1A3E5C"/>
      </left>
      <right style="medium">
        <color rgb="FF1A3E5C"/>
      </right>
      <top style="medium">
        <color rgb="FF1A3E5C"/>
      </top>
      <bottom style="medium">
        <color rgb="FF1A3E5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right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/>
    </xf>
    <xf numFmtId="4" fontId="6" fillId="3" borderId="2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4" fontId="9" fillId="2" borderId="3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5" fontId="12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showGridLines="0" tabSelected="1" workbookViewId="0">
      <selection activeCell="L47" sqref="L47"/>
    </sheetView>
  </sheetViews>
  <sheetFormatPr defaultRowHeight="15" x14ac:dyDescent="0.25"/>
  <cols>
    <col min="1" max="1" width="38" customWidth="1"/>
    <col min="2" max="3" width="10" customWidth="1"/>
    <col min="4" max="4" width="13" customWidth="1"/>
    <col min="5" max="5" width="11" customWidth="1"/>
    <col min="6" max="6" width="14" customWidth="1"/>
    <col min="7" max="7" width="13" customWidth="1"/>
    <col min="8" max="8" width="11" customWidth="1"/>
    <col min="9" max="9" width="14" customWidth="1"/>
    <col min="10" max="10" width="11" customWidth="1"/>
    <col min="11" max="11" width="16" customWidth="1"/>
    <col min="12" max="12" width="14" customWidth="1"/>
  </cols>
  <sheetData>
    <row r="1" spans="1:12" ht="33.950000000000003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6" customHeight="1" x14ac:dyDescent="0.25"/>
    <row r="3" spans="1:12" ht="15.95" customHeight="1" x14ac:dyDescent="0.25">
      <c r="A3" s="1" t="s">
        <v>1</v>
      </c>
      <c r="B3" s="19" t="s">
        <v>2</v>
      </c>
      <c r="C3" s="18"/>
      <c r="D3" s="18"/>
      <c r="F3" s="1" t="s">
        <v>3</v>
      </c>
      <c r="G3" s="19" t="s">
        <v>4</v>
      </c>
      <c r="H3" s="18"/>
      <c r="I3" s="18"/>
      <c r="J3" s="18"/>
    </row>
    <row r="4" spans="1:12" ht="15.95" customHeight="1" x14ac:dyDescent="0.25">
      <c r="A4" s="1" t="s">
        <v>5</v>
      </c>
      <c r="B4" s="19" t="s">
        <v>6</v>
      </c>
      <c r="C4" s="18"/>
      <c r="D4" s="18"/>
      <c r="F4" s="1" t="s">
        <v>7</v>
      </c>
      <c r="G4" s="19" t="s">
        <v>8</v>
      </c>
      <c r="H4" s="18"/>
      <c r="I4" s="18"/>
      <c r="J4" s="18"/>
    </row>
    <row r="5" spans="1:12" ht="15.95" customHeight="1" x14ac:dyDescent="0.25">
      <c r="A5" s="1" t="s">
        <v>9</v>
      </c>
      <c r="B5" s="19" t="s">
        <v>10</v>
      </c>
      <c r="C5" s="18"/>
      <c r="D5" s="18"/>
      <c r="F5" s="1" t="s">
        <v>11</v>
      </c>
      <c r="G5" s="19"/>
      <c r="H5" s="18"/>
      <c r="I5" s="18"/>
      <c r="J5" s="18"/>
    </row>
    <row r="7" spans="1:12" ht="20.100000000000001" customHeight="1" x14ac:dyDescent="0.25">
      <c r="A7" s="20" t="s">
        <v>12</v>
      </c>
      <c r="B7" s="18"/>
      <c r="C7" s="18"/>
      <c r="D7" s="18"/>
      <c r="E7" s="18"/>
      <c r="F7" s="18"/>
      <c r="G7" s="18"/>
      <c r="H7" s="18"/>
    </row>
    <row r="8" spans="1:12" ht="15.95" customHeight="1" x14ac:dyDescent="0.25">
      <c r="A8" s="2" t="s">
        <v>13</v>
      </c>
      <c r="B8" s="2" t="s">
        <v>14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19</v>
      </c>
      <c r="H8" s="2"/>
    </row>
    <row r="9" spans="1:12" ht="20.100000000000001" customHeight="1" x14ac:dyDescent="0.25">
      <c r="A9" s="6" t="s">
        <v>20</v>
      </c>
      <c r="B9" s="4">
        <v>140</v>
      </c>
      <c r="C9" s="4">
        <v>29.27</v>
      </c>
      <c r="D9" s="4">
        <f>B9*C9</f>
        <v>4097.8</v>
      </c>
      <c r="E9" s="5">
        <v>50</v>
      </c>
      <c r="F9" s="4">
        <f>D9*(1+E9/100)</f>
        <v>6146.7000000000007</v>
      </c>
      <c r="G9" s="4">
        <f>F9-D9</f>
        <v>2048.9000000000005</v>
      </c>
    </row>
    <row r="10" spans="1:12" ht="20.100000000000001" customHeight="1" x14ac:dyDescent="0.25">
      <c r="A10" s="10" t="s">
        <v>21</v>
      </c>
      <c r="B10" s="8">
        <v>140</v>
      </c>
      <c r="C10" s="8">
        <v>27.33</v>
      </c>
      <c r="D10" s="8">
        <f>B10*C10</f>
        <v>3826.2</v>
      </c>
      <c r="E10" s="9">
        <v>50</v>
      </c>
      <c r="F10" s="8">
        <f>D10*(1+E10/100)</f>
        <v>5739.2999999999993</v>
      </c>
      <c r="G10" s="8">
        <f>F10-D10</f>
        <v>1913.0999999999995</v>
      </c>
    </row>
    <row r="11" spans="1:12" ht="20.100000000000001" customHeight="1" x14ac:dyDescent="0.25">
      <c r="A11" s="6" t="s">
        <v>22</v>
      </c>
      <c r="B11" s="4">
        <v>140</v>
      </c>
      <c r="C11" s="4">
        <v>24.48</v>
      </c>
      <c r="D11" s="4">
        <f>B11*C11</f>
        <v>3427.2000000000003</v>
      </c>
      <c r="E11" s="5">
        <v>50</v>
      </c>
      <c r="F11" s="4">
        <f>D11*(1+E11/100)</f>
        <v>5140.8</v>
      </c>
      <c r="G11" s="4">
        <f>F11-D11</f>
        <v>1713.6</v>
      </c>
    </row>
    <row r="12" spans="1:12" ht="20.100000000000001" customHeight="1" x14ac:dyDescent="0.25">
      <c r="A12" s="10" t="s">
        <v>22</v>
      </c>
      <c r="B12" s="8">
        <v>140</v>
      </c>
      <c r="C12" s="8">
        <v>24.48</v>
      </c>
      <c r="D12" s="8">
        <f>B12*C12</f>
        <v>3427.2000000000003</v>
      </c>
      <c r="E12" s="9">
        <v>50</v>
      </c>
      <c r="F12" s="8">
        <f>D12*(1+E12/100)</f>
        <v>5140.8</v>
      </c>
      <c r="G12" s="8">
        <f>F12-D12</f>
        <v>1713.6</v>
      </c>
    </row>
    <row r="13" spans="1:12" ht="18" customHeight="1" x14ac:dyDescent="0.25">
      <c r="A13" s="21" t="s">
        <v>23</v>
      </c>
      <c r="B13" s="21"/>
      <c r="C13" s="21"/>
      <c r="D13" s="11">
        <f>SUM(D9:D12)</f>
        <v>14778.400000000001</v>
      </c>
      <c r="E13" s="11"/>
      <c r="F13" s="12">
        <f>SUM(F9:F12)</f>
        <v>22167.599999999999</v>
      </c>
      <c r="G13" s="12">
        <f>SUM(G9:G12)</f>
        <v>7389.2000000000007</v>
      </c>
    </row>
    <row r="15" spans="1:12" ht="20.100000000000001" customHeight="1" x14ac:dyDescent="0.25">
      <c r="A15" s="20" t="s">
        <v>24</v>
      </c>
      <c r="B15" s="18"/>
      <c r="C15" s="18"/>
      <c r="D15" s="18"/>
      <c r="E15" s="18"/>
      <c r="F15" s="18"/>
      <c r="G15" s="18"/>
    </row>
    <row r="16" spans="1:12" ht="15.95" customHeight="1" x14ac:dyDescent="0.25">
      <c r="A16" s="2" t="s">
        <v>25</v>
      </c>
      <c r="B16" s="2" t="s">
        <v>26</v>
      </c>
      <c r="C16" s="2" t="s">
        <v>27</v>
      </c>
      <c r="D16" s="2" t="s">
        <v>16</v>
      </c>
      <c r="E16" s="2" t="s">
        <v>17</v>
      </c>
      <c r="F16" s="2" t="s">
        <v>18</v>
      </c>
      <c r="G16" s="2" t="s">
        <v>19</v>
      </c>
    </row>
    <row r="17" spans="1:12" ht="20.100000000000001" customHeight="1" x14ac:dyDescent="0.25">
      <c r="A17" s="6" t="s">
        <v>28</v>
      </c>
      <c r="B17" s="4">
        <v>1</v>
      </c>
      <c r="C17" s="4">
        <v>3000</v>
      </c>
      <c r="D17" s="4">
        <f>B17*C17</f>
        <v>3000</v>
      </c>
      <c r="E17" s="5">
        <v>30</v>
      </c>
      <c r="F17" s="4">
        <f>D17*(1+E17/100)</f>
        <v>3900</v>
      </c>
      <c r="G17" s="4">
        <f>F17-D17</f>
        <v>900</v>
      </c>
    </row>
    <row r="18" spans="1:12" ht="18" customHeight="1" x14ac:dyDescent="0.25">
      <c r="A18" s="21" t="s">
        <v>29</v>
      </c>
      <c r="B18" s="21"/>
      <c r="C18" s="21"/>
      <c r="D18" s="12">
        <f>SUM(D17:D17)</f>
        <v>3000</v>
      </c>
      <c r="E18" s="12"/>
      <c r="F18" s="12">
        <f>SUM(F17:F17)</f>
        <v>3900</v>
      </c>
      <c r="G18" s="12">
        <f>F18-D18</f>
        <v>900</v>
      </c>
    </row>
    <row r="20" spans="1:12" ht="20.100000000000001" customHeight="1" x14ac:dyDescent="0.25">
      <c r="A20" s="20" t="s">
        <v>30</v>
      </c>
      <c r="B20" s="18"/>
      <c r="C20" s="18"/>
      <c r="D20" s="18"/>
      <c r="E20" s="18"/>
      <c r="F20" s="18"/>
      <c r="G20" s="18"/>
    </row>
    <row r="21" spans="1:12" ht="15.95" customHeight="1" x14ac:dyDescent="0.25">
      <c r="A21" s="2" t="s">
        <v>25</v>
      </c>
      <c r="B21" s="2" t="s">
        <v>26</v>
      </c>
      <c r="C21" s="2" t="s">
        <v>27</v>
      </c>
      <c r="D21" s="2" t="s">
        <v>16</v>
      </c>
      <c r="E21" s="2" t="s">
        <v>17</v>
      </c>
      <c r="F21" s="2" t="s">
        <v>18</v>
      </c>
      <c r="G21" s="2" t="s">
        <v>19</v>
      </c>
    </row>
    <row r="22" spans="1:12" ht="20.100000000000001" customHeight="1" x14ac:dyDescent="0.25">
      <c r="A22" s="6" t="s">
        <v>31</v>
      </c>
      <c r="B22" s="4">
        <v>1</v>
      </c>
      <c r="C22" s="4">
        <v>1500</v>
      </c>
      <c r="D22" s="4">
        <f>B22*C22</f>
        <v>1500</v>
      </c>
      <c r="E22" s="5">
        <v>20</v>
      </c>
      <c r="F22" s="4">
        <f>D22*(1+E22/100)</f>
        <v>1800</v>
      </c>
      <c r="G22" s="4">
        <f>F22-D22</f>
        <v>300</v>
      </c>
    </row>
    <row r="23" spans="1:12" ht="18" customHeight="1" x14ac:dyDescent="0.25">
      <c r="A23" s="21" t="s">
        <v>32</v>
      </c>
      <c r="B23" s="21"/>
      <c r="C23" s="21"/>
      <c r="D23" s="12">
        <f>SUM(D22:D22)</f>
        <v>1500</v>
      </c>
      <c r="E23" s="12"/>
      <c r="F23" s="12">
        <f>SUM(F22:F22)</f>
        <v>1800</v>
      </c>
      <c r="G23" s="12">
        <f>F23-D23</f>
        <v>300</v>
      </c>
    </row>
    <row r="25" spans="1:12" ht="20.100000000000001" customHeight="1" x14ac:dyDescent="0.25">
      <c r="A25" s="20" t="s">
        <v>33</v>
      </c>
      <c r="B25" s="18"/>
      <c r="C25" s="18"/>
      <c r="D25" s="18"/>
      <c r="E25" s="18"/>
      <c r="F25" s="18"/>
      <c r="G25" s="18"/>
    </row>
    <row r="26" spans="1:12" ht="15.95" customHeight="1" x14ac:dyDescent="0.25">
      <c r="A26" s="2" t="s">
        <v>25</v>
      </c>
      <c r="B26" s="2" t="s">
        <v>26</v>
      </c>
      <c r="C26" s="2" t="s">
        <v>27</v>
      </c>
      <c r="D26" s="2" t="s">
        <v>16</v>
      </c>
      <c r="E26" s="2" t="s">
        <v>17</v>
      </c>
      <c r="F26" s="2" t="s">
        <v>18</v>
      </c>
      <c r="G26" s="2" t="s">
        <v>19</v>
      </c>
    </row>
    <row r="27" spans="1:12" ht="20.100000000000001" customHeight="1" x14ac:dyDescent="0.25">
      <c r="A27" s="6"/>
      <c r="B27" s="4">
        <v>0</v>
      </c>
      <c r="C27" s="4">
        <v>0</v>
      </c>
      <c r="D27" s="4">
        <f>B27*C27</f>
        <v>0</v>
      </c>
      <c r="E27" s="5">
        <v>50</v>
      </c>
      <c r="F27" s="4">
        <f>D27*(1+E27/100)</f>
        <v>0</v>
      </c>
      <c r="G27" s="4">
        <f>F27-D27</f>
        <v>0</v>
      </c>
    </row>
    <row r="28" spans="1:12" ht="18" customHeight="1" x14ac:dyDescent="0.25">
      <c r="A28" s="21" t="s">
        <v>34</v>
      </c>
      <c r="B28" s="21"/>
      <c r="C28" s="21"/>
      <c r="D28" s="12">
        <f>SUM(D27:D27)</f>
        <v>0</v>
      </c>
      <c r="E28" s="12"/>
      <c r="F28" s="12">
        <f>SUM(F27:F27)</f>
        <v>0</v>
      </c>
      <c r="G28" s="12">
        <f>F28-D28</f>
        <v>0</v>
      </c>
    </row>
    <row r="30" spans="1:12" ht="20.100000000000001" customHeight="1" x14ac:dyDescent="0.25">
      <c r="A30" s="20" t="s">
        <v>35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 ht="15.95" customHeight="1" x14ac:dyDescent="0.25">
      <c r="A31" s="2" t="s">
        <v>25</v>
      </c>
      <c r="B31" s="2" t="s">
        <v>36</v>
      </c>
      <c r="C31" s="2" t="s">
        <v>37</v>
      </c>
      <c r="D31" s="2" t="s">
        <v>38</v>
      </c>
      <c r="E31" s="2" t="s">
        <v>39</v>
      </c>
      <c r="F31" s="2" t="s">
        <v>40</v>
      </c>
      <c r="G31" s="2" t="s">
        <v>41</v>
      </c>
      <c r="H31" s="2" t="s">
        <v>42</v>
      </c>
      <c r="I31" s="2" t="s">
        <v>16</v>
      </c>
      <c r="J31" s="2" t="s">
        <v>17</v>
      </c>
      <c r="K31" s="2" t="s">
        <v>18</v>
      </c>
      <c r="L31" s="2" t="s">
        <v>19</v>
      </c>
    </row>
    <row r="32" spans="1:12" ht="20.100000000000001" customHeight="1" x14ac:dyDescent="0.25">
      <c r="A32" s="6" t="s">
        <v>43</v>
      </c>
      <c r="B32" s="4">
        <v>4</v>
      </c>
      <c r="C32" s="4">
        <v>15</v>
      </c>
      <c r="D32" s="4">
        <v>13</v>
      </c>
      <c r="E32" s="4">
        <v>0</v>
      </c>
      <c r="F32" s="4">
        <v>0</v>
      </c>
      <c r="G32" s="4">
        <v>2000</v>
      </c>
      <c r="H32" s="4">
        <v>0.3</v>
      </c>
      <c r="I32" s="4">
        <f>(D32+E32+F32)*B32*C32+G32*H32</f>
        <v>1380</v>
      </c>
      <c r="J32" s="5">
        <v>10</v>
      </c>
      <c r="K32" s="4">
        <f>I32*(1+J32/100)</f>
        <v>1518.0000000000002</v>
      </c>
      <c r="L32" s="4">
        <f>K32-I32</f>
        <v>138.00000000000023</v>
      </c>
    </row>
    <row r="33" spans="1:12" ht="20.100000000000001" customHeight="1" x14ac:dyDescent="0.25">
      <c r="A33" s="10" t="s">
        <v>44</v>
      </c>
      <c r="B33" s="8">
        <v>4</v>
      </c>
      <c r="C33" s="8">
        <v>10</v>
      </c>
      <c r="D33" s="8">
        <v>65</v>
      </c>
      <c r="E33" s="8">
        <v>0</v>
      </c>
      <c r="F33" s="8">
        <v>0</v>
      </c>
      <c r="G33" s="8">
        <v>0</v>
      </c>
      <c r="H33" s="8">
        <v>0.3</v>
      </c>
      <c r="I33" s="8">
        <f>(D33+E33+F33)*B33*C33+G33*H33</f>
        <v>2600</v>
      </c>
      <c r="J33" s="9">
        <v>10</v>
      </c>
      <c r="K33" s="8">
        <f>I33*(1+J33/100)</f>
        <v>2860.0000000000005</v>
      </c>
      <c r="L33" s="8">
        <f>K33-I33</f>
        <v>260.00000000000045</v>
      </c>
    </row>
    <row r="34" spans="1:12" ht="18" customHeight="1" x14ac:dyDescent="0.25">
      <c r="A34" s="21" t="s">
        <v>45</v>
      </c>
      <c r="B34" s="21"/>
      <c r="C34" s="21"/>
      <c r="D34" s="21"/>
      <c r="E34" s="21"/>
      <c r="F34" s="21"/>
      <c r="G34" s="21"/>
      <c r="H34" s="21"/>
      <c r="I34" s="12">
        <f>SUM(I32:I33)</f>
        <v>3980</v>
      </c>
      <c r="J34" s="12"/>
      <c r="K34" s="12">
        <f>SUM(K32:K33)</f>
        <v>4378.0000000000009</v>
      </c>
      <c r="L34" s="12">
        <f>K34-I34</f>
        <v>398.00000000000091</v>
      </c>
    </row>
    <row r="36" spans="1:12" ht="21.95" customHeight="1" x14ac:dyDescent="0.25">
      <c r="A36" s="20" t="s">
        <v>46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spans="1:12" ht="15.95" customHeight="1" x14ac:dyDescent="0.25">
      <c r="A37" s="22" t="s">
        <v>47</v>
      </c>
      <c r="B37" s="22"/>
      <c r="C37" s="22"/>
      <c r="D37" s="22"/>
      <c r="E37" s="22"/>
      <c r="F37" s="22"/>
      <c r="G37" s="22"/>
      <c r="H37" s="22"/>
      <c r="I37" s="2" t="s">
        <v>48</v>
      </c>
      <c r="J37" s="2" t="s">
        <v>49</v>
      </c>
      <c r="K37" s="2" t="s">
        <v>50</v>
      </c>
      <c r="L37" s="2" t="s">
        <v>19</v>
      </c>
    </row>
    <row r="38" spans="1:12" x14ac:dyDescent="0.25">
      <c r="A38" s="23" t="s">
        <v>51</v>
      </c>
      <c r="B38" s="23"/>
      <c r="C38" s="23"/>
      <c r="D38" s="23"/>
      <c r="E38" s="23"/>
      <c r="F38" s="23"/>
      <c r="G38" s="23"/>
      <c r="H38" s="23"/>
      <c r="I38" s="4">
        <f>D13</f>
        <v>14778.400000000001</v>
      </c>
      <c r="J38" s="3"/>
      <c r="K38" s="4">
        <f>F13</f>
        <v>22167.599999999999</v>
      </c>
      <c r="L38" s="4">
        <f t="shared" ref="L38:L43" si="0">K38-I38</f>
        <v>7389.1999999999971</v>
      </c>
    </row>
    <row r="39" spans="1:12" x14ac:dyDescent="0.25">
      <c r="A39" s="24" t="s">
        <v>52</v>
      </c>
      <c r="B39" s="24"/>
      <c r="C39" s="24"/>
      <c r="D39" s="24"/>
      <c r="E39" s="24"/>
      <c r="F39" s="24"/>
      <c r="G39" s="24"/>
      <c r="H39" s="24"/>
      <c r="I39" s="8">
        <f>D18</f>
        <v>3000</v>
      </c>
      <c r="J39" s="7"/>
      <c r="K39" s="8">
        <f>F18</f>
        <v>3900</v>
      </c>
      <c r="L39" s="8">
        <f t="shared" si="0"/>
        <v>900</v>
      </c>
    </row>
    <row r="40" spans="1:12" x14ac:dyDescent="0.25">
      <c r="A40" s="23" t="s">
        <v>53</v>
      </c>
      <c r="B40" s="23"/>
      <c r="C40" s="23"/>
      <c r="D40" s="23"/>
      <c r="E40" s="23"/>
      <c r="F40" s="23"/>
      <c r="G40" s="23"/>
      <c r="H40" s="23"/>
      <c r="I40" s="4">
        <f>D23</f>
        <v>1500</v>
      </c>
      <c r="J40" s="3"/>
      <c r="K40" s="4">
        <f>F23</f>
        <v>1800</v>
      </c>
      <c r="L40" s="4">
        <f t="shared" si="0"/>
        <v>300</v>
      </c>
    </row>
    <row r="41" spans="1:12" x14ac:dyDescent="0.25">
      <c r="A41" s="24" t="s">
        <v>54</v>
      </c>
      <c r="B41" s="24"/>
      <c r="C41" s="24"/>
      <c r="D41" s="24"/>
      <c r="E41" s="24"/>
      <c r="F41" s="24"/>
      <c r="G41" s="24"/>
      <c r="H41" s="24"/>
      <c r="I41" s="8">
        <f>D28</f>
        <v>0</v>
      </c>
      <c r="J41" s="7"/>
      <c r="K41" s="8">
        <f>F28</f>
        <v>0</v>
      </c>
      <c r="L41" s="8">
        <f t="shared" si="0"/>
        <v>0</v>
      </c>
    </row>
    <row r="42" spans="1:12" x14ac:dyDescent="0.25">
      <c r="A42" s="23" t="s">
        <v>55</v>
      </c>
      <c r="B42" s="23"/>
      <c r="C42" s="23"/>
      <c r="D42" s="23"/>
      <c r="E42" s="23"/>
      <c r="F42" s="23"/>
      <c r="G42" s="23"/>
      <c r="H42" s="23"/>
      <c r="I42" s="4">
        <f>I34</f>
        <v>3980</v>
      </c>
      <c r="J42" s="3"/>
      <c r="K42" s="4">
        <f>K34</f>
        <v>4378.0000000000009</v>
      </c>
      <c r="L42" s="4">
        <f t="shared" si="0"/>
        <v>398.00000000000091</v>
      </c>
    </row>
    <row r="43" spans="1:12" ht="18" customHeight="1" x14ac:dyDescent="0.25">
      <c r="A43" s="21" t="s">
        <v>56</v>
      </c>
      <c r="B43" s="21"/>
      <c r="C43" s="21"/>
      <c r="D43" s="21"/>
      <c r="E43" s="21"/>
      <c r="F43" s="21"/>
      <c r="G43" s="21"/>
      <c r="H43" s="21"/>
      <c r="I43" s="12">
        <f>I38+I39+I40+I41+I42</f>
        <v>23258.400000000001</v>
      </c>
      <c r="J43" s="12"/>
      <c r="K43" s="12">
        <f>K38+K39+K40+K41+K42</f>
        <v>32245.599999999999</v>
      </c>
      <c r="L43" s="12">
        <f t="shared" si="0"/>
        <v>8987.1999999999971</v>
      </c>
    </row>
    <row r="44" spans="1:12" ht="15.95" customHeight="1" x14ac:dyDescent="0.25">
      <c r="A44" s="25" t="s">
        <v>57</v>
      </c>
      <c r="B44" s="24"/>
      <c r="C44" s="24"/>
      <c r="D44" s="24"/>
      <c r="E44" s="24"/>
      <c r="F44" s="24"/>
      <c r="G44" s="24"/>
      <c r="H44" s="24"/>
      <c r="I44" s="7"/>
      <c r="J44" s="7"/>
      <c r="K44" s="8">
        <f>K43*(5/100)</f>
        <v>1612.28</v>
      </c>
      <c r="L44" s="7"/>
    </row>
    <row r="45" spans="1:12" ht="15.95" customHeight="1" x14ac:dyDescent="0.25">
      <c r="A45" s="26" t="s">
        <v>58</v>
      </c>
      <c r="B45" s="24"/>
      <c r="C45" s="24"/>
      <c r="D45" s="24"/>
      <c r="E45" s="24"/>
      <c r="F45" s="24"/>
      <c r="G45" s="24"/>
      <c r="H45" s="24"/>
      <c r="I45" s="7"/>
      <c r="J45" s="7"/>
      <c r="K45" s="8">
        <v>0</v>
      </c>
      <c r="L45" s="7"/>
    </row>
    <row r="46" spans="1:12" ht="27.95" customHeight="1" x14ac:dyDescent="0.25">
      <c r="A46" s="27" t="s">
        <v>59</v>
      </c>
      <c r="B46" s="27"/>
      <c r="C46" s="27"/>
      <c r="D46" s="27"/>
      <c r="E46" s="27"/>
      <c r="F46" s="27"/>
      <c r="G46" s="27"/>
      <c r="H46" s="27"/>
      <c r="I46" s="13"/>
      <c r="J46" s="13"/>
      <c r="K46" s="14">
        <f>K43+K44+K45</f>
        <v>33857.879999999997</v>
      </c>
      <c r="L46" s="14">
        <f>K46-I43</f>
        <v>10599.479999999996</v>
      </c>
    </row>
    <row r="47" spans="1:12" ht="21.95" customHeight="1" x14ac:dyDescent="0.25">
      <c r="A47" s="28" t="s">
        <v>60</v>
      </c>
      <c r="B47" s="29"/>
      <c r="C47" s="29"/>
      <c r="D47" s="29"/>
      <c r="E47" s="29"/>
      <c r="F47" s="29"/>
      <c r="G47" s="29"/>
      <c r="H47" s="29"/>
      <c r="I47" s="15"/>
      <c r="J47" s="15"/>
      <c r="K47" s="15"/>
      <c r="L47" s="16">
        <f>IF(K46&gt;0,(K46-I43)/K46*100,0)</f>
        <v>31.305799418037978</v>
      </c>
    </row>
  </sheetData>
  <mergeCells count="29">
    <mergeCell ref="A44:H44"/>
    <mergeCell ref="A45:H45"/>
    <mergeCell ref="A46:H46"/>
    <mergeCell ref="A47:H47"/>
    <mergeCell ref="A39:H39"/>
    <mergeCell ref="A40:H40"/>
    <mergeCell ref="A41:H41"/>
    <mergeCell ref="A42:H42"/>
    <mergeCell ref="A43:H43"/>
    <mergeCell ref="A30:L30"/>
    <mergeCell ref="A34:H34"/>
    <mergeCell ref="A36:L36"/>
    <mergeCell ref="A37:H37"/>
    <mergeCell ref="A38:H38"/>
    <mergeCell ref="A18:C18"/>
    <mergeCell ref="A20:G20"/>
    <mergeCell ref="A23:C23"/>
    <mergeCell ref="A25:G25"/>
    <mergeCell ref="A28:C28"/>
    <mergeCell ref="B5:D5"/>
    <mergeCell ref="G5:J5"/>
    <mergeCell ref="A7:H7"/>
    <mergeCell ref="A13:C13"/>
    <mergeCell ref="A15:G15"/>
    <mergeCell ref="A1:L1"/>
    <mergeCell ref="B3:D3"/>
    <mergeCell ref="G3:J3"/>
    <mergeCell ref="B4:D4"/>
    <mergeCell ref="G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Valutazione Commessa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Luca Ranalletta</cp:lastModifiedBy>
  <dcterms:created xsi:type="dcterms:W3CDTF">2026-04-30T17:12:45Z</dcterms:created>
  <dcterms:modified xsi:type="dcterms:W3CDTF">2026-04-30T17:14:08Z</dcterms:modified>
  <cp:category/>
</cp:coreProperties>
</file>